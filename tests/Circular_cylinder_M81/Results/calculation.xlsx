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e stream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<sst xmlns="http://schemas.openxmlformats.org/spreadsheetml/2006/main" count="10" uniqueCount="9">
  <si>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Ma</t>
  </si>
  <si>
    <t xml:space="preserve">u</t>
  </si>
  <si>
    <t xml:space="preserve">v</t>
  </si>
  <si>
    <t xml:space="preserve">rho</t>
  </si>
  <si>
    <t xml:space="preserve">gm</t>
  </si>
  <si>
    <t xml:space="preserve">rhoE</t>
  </si>
  <si>
    <t xml:space="preserve">e</t>
  </si>
  <si>
    <t xml:space="preserve">p</t>
  </si>
  <si>
    <t xml:space="preserve">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</si>
</sst>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4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11.60546875" defaultRowHeight="12.8" zeroHeight="false" outlineLevelRow="0" outlineLevelCol="0"/>
  <sheetData>
    <row r="4" customFormat="false" ht="12.8" hidden="false" customHeight="false" outlineLevel="0" collapsed="false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L4" s="1" t="s">
        <v>7</v>
      </c>
    </row>
    <row r="5" customFormat="false" ht="12.8" hidden="false" customHeight="false" outlineLevel="0" collapsed="false">
      <c r="A5" s="1" t="n">
        <v>8.1</v>
      </c>
      <c r="B5" s="1" t="n">
        <v>1</v>
      </c>
      <c r="C5" s="1" t="n">
        <v>0</v>
      </c>
      <c r="D5" s="1" t="n">
        <v>1</v>
      </c>
      <c r="E5" s="1" t="n">
        <v>1.4</v>
      </c>
      <c r="F5" s="1" t="n">
        <f aca="false">(1/(A5^2*E5*(E5-1))+0.5)</f>
        <v>0.527217105406406</v>
      </c>
      <c r="G5" s="1" t="n">
        <f aca="false">(F5/D5)-0.5*(B5^2+C5^2)</f>
        <v>0.0272171054064059</v>
      </c>
      <c r="H5" s="1" t="n">
        <f aca="false">(E5-1)*D5*G5</f>
        <v>0.0108868421625623</v>
      </c>
      <c r="I5" s="1" t="n">
        <f aca="false">((E5*H5)/((E5-1)*D5))+0.5*(B5^2+C5^2)</f>
        <v>0.538103947568968</v>
      </c>
      <c r="J5" s="1" t="n">
        <v>0.000793650793650791</v>
      </c>
      <c r="L5" s="1" t="n">
        <v>0.0108868421625623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2025-04-05T17:13:47Z</dcterms:created>
  <dc:creator/>
  <dc:description/>
  <dc:language>en-IN</dc:language>
  <cp:lastModifiedBy/>
  <dcterms:modified xsi:type="dcterms:W3CDTF">2025-04-08T18:08:44Z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