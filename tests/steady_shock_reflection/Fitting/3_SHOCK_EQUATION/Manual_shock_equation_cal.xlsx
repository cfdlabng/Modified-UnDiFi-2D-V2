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ck_1" sheetId="1" state="visible" r:id="rId3"/>
    <sheet name="Shock_2" sheetId="2" state="visible" r:id="rId4"/>
    <sheet name="Shock_3" sheetId="3" state="visible" r:id="rId5"/>
    <sheet name="shock_2_inters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<sst xmlns="http://schemas.openxmlformats.org/spreadsheetml/2006/main" count="34" uniqueCount="12">
  <si>
    <t xml:space="preserve">x1</t>
  </si>
  <si>
    <t xml:space="preserve">y1</t>
  </si>
  <si>
    <t xml:space="preserve">x2</t>
  </si>
  <si>
    <t xml:space="preserve">y2</t>
  </si>
  <si>
    <t xml:space="preserve">m</t>
  </si>
  <si>
    <t xml:space="preserve">C</t>
  </si>
  <si>
    <t xml:space="preserve">x</t>
  </si>
  <si>
    <t xml:space="preserve">y</t>
  </si>
  <si>
    <t xml:space="preserve">m1</t>
  </si>
  <si>
    <t xml:space="preserve">C1</t>
  </si>
  <si>
    <t xml:space="preserve">m2</t>
  </si>
  <si>
    <t xml:space="preserve">c2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</si>
</sst>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1" t="n">
        <v>0.1</v>
      </c>
      <c r="B2" s="1" t="n">
        <v>1</v>
      </c>
      <c r="C2" s="3" t="n">
        <v>1.918267</v>
      </c>
      <c r="D2" s="3" t="n">
        <v>0</v>
      </c>
      <c r="E2" s="4" t="n">
        <f aca="false">(D2-B2)/(C2-A2)</f>
        <v>-0.549974233707151</v>
      </c>
      <c r="F2" s="4" t="n">
        <f aca="false">-1*E2*A2+B2</f>
        <v>1.05499742337072</v>
      </c>
    </row>
    <row r="4" customFormat="false" ht="13.8" hidden="false" customHeight="false" outlineLevel="0" collapsed="false">
      <c r="A4" s="5" t="s">
        <v>6</v>
      </c>
      <c r="B4" s="5" t="s">
        <v>7</v>
      </c>
    </row>
    <row r="5" customFormat="false" ht="13.8" hidden="false" customHeight="false" outlineLevel="0" collapsed="false">
      <c r="A5" s="1" t="n">
        <v>0.1</v>
      </c>
      <c r="B5" s="1" t="n">
        <v>1</v>
      </c>
    </row>
    <row r="6" customFormat="false" ht="13.8" hidden="false" customHeight="false" outlineLevel="0" collapsed="false">
      <c r="A6" s="1" t="n">
        <f aca="false">A5+0.05</f>
        <v>0.15</v>
      </c>
      <c r="B6" s="1" t="n">
        <f aca="false">$E$2*A6+$F$2</f>
        <v>0.972501288314642</v>
      </c>
    </row>
    <row r="7" customFormat="false" ht="13.8" hidden="false" customHeight="false" outlineLevel="0" collapsed="false">
      <c r="A7" s="1" t="n">
        <f aca="false">A6+0.05</f>
        <v>0.2</v>
      </c>
      <c r="B7" s="1" t="n">
        <f aca="false">$E$2*A7+$F$2</f>
        <v>0.945002576629285</v>
      </c>
    </row>
    <row r="8" customFormat="false" ht="13.8" hidden="false" customHeight="false" outlineLevel="0" collapsed="false">
      <c r="A8" s="1" t="n">
        <f aca="false">A7+0.05</f>
        <v>0.25</v>
      </c>
      <c r="B8" s="1" t="n">
        <f aca="false">$E$2*A8+$F$2</f>
        <v>0.917503864943927</v>
      </c>
    </row>
    <row r="9" customFormat="false" ht="13.8" hidden="false" customHeight="false" outlineLevel="0" collapsed="false">
      <c r="A9" s="1" t="n">
        <f aca="false">A8+0.05</f>
        <v>0.3</v>
      </c>
      <c r="B9" s="1" t="n">
        <f aca="false">$E$2*A9+$F$2</f>
        <v>0.89000515325857</v>
      </c>
    </row>
    <row r="10" customFormat="false" ht="13.8" hidden="false" customHeight="false" outlineLevel="0" collapsed="false">
      <c r="A10" s="1" t="n">
        <f aca="false">A9+0.05</f>
        <v>0.35</v>
      </c>
      <c r="B10" s="1" t="n">
        <f aca="false">$E$2*A10+$F$2</f>
        <v>0.862506441573212</v>
      </c>
    </row>
    <row r="11" customFormat="false" ht="13.8" hidden="false" customHeight="false" outlineLevel="0" collapsed="false">
      <c r="A11" s="1" t="n">
        <f aca="false">A10+0.05</f>
        <v>0.4</v>
      </c>
      <c r="B11" s="1" t="n">
        <f aca="false">$E$2*A11+$F$2</f>
        <v>0.835007729887855</v>
      </c>
    </row>
    <row r="12" customFormat="false" ht="13.8" hidden="false" customHeight="false" outlineLevel="0" collapsed="false">
      <c r="A12" s="1" t="n">
        <f aca="false">A11+0.05</f>
        <v>0.45</v>
      </c>
      <c r="B12" s="1" t="n">
        <f aca="false">$E$2*A12+$F$2</f>
        <v>0.807509018202497</v>
      </c>
    </row>
    <row r="13" customFormat="false" ht="13.8" hidden="false" customHeight="false" outlineLevel="0" collapsed="false">
      <c r="A13" s="1" t="n">
        <f aca="false">A12+0.05</f>
        <v>0.5</v>
      </c>
      <c r="B13" s="1" t="n">
        <f aca="false">$E$2*A13+$F$2</f>
        <v>0.78001030651714</v>
      </c>
    </row>
    <row r="14" customFormat="false" ht="13.8" hidden="false" customHeight="false" outlineLevel="0" collapsed="false">
      <c r="A14" s="1" t="n">
        <f aca="false">A13+0.05</f>
        <v>0.55</v>
      </c>
      <c r="B14" s="1" t="n">
        <f aca="false">$E$2*A14+$F$2</f>
        <v>0.752511594831782</v>
      </c>
    </row>
    <row r="15" customFormat="false" ht="13.8" hidden="false" customHeight="false" outlineLevel="0" collapsed="false">
      <c r="A15" s="1" t="n">
        <f aca="false">A14+0.05</f>
        <v>0.6</v>
      </c>
      <c r="B15" s="1" t="n">
        <f aca="false">$E$2*A15+$F$2</f>
        <v>0.725012883146425</v>
      </c>
    </row>
    <row r="16" customFormat="false" ht="13.8" hidden="false" customHeight="false" outlineLevel="0" collapsed="false">
      <c r="A16" s="1" t="n">
        <f aca="false">A15+0.05</f>
        <v>0.65</v>
      </c>
      <c r="B16" s="1" t="n">
        <f aca="false">$E$2*A16+$F$2</f>
        <v>0.697514171461067</v>
      </c>
    </row>
    <row r="17" customFormat="false" ht="13.8" hidden="false" customHeight="false" outlineLevel="0" collapsed="false">
      <c r="A17" s="1" t="n">
        <f aca="false">A16+0.05</f>
        <v>0.7</v>
      </c>
      <c r="B17" s="1" t="n">
        <f aca="false">$E$2*A17+$F$2</f>
        <v>0.67001545977571</v>
      </c>
    </row>
    <row r="18" customFormat="false" ht="13.8" hidden="false" customHeight="false" outlineLevel="0" collapsed="false">
      <c r="A18" s="1" t="n">
        <f aca="false">A17+0.05</f>
        <v>0.75</v>
      </c>
      <c r="B18" s="1" t="n">
        <f aca="false">$E$2*A18+$F$2</f>
        <v>0.642516748090352</v>
      </c>
    </row>
    <row r="19" customFormat="false" ht="13.8" hidden="false" customHeight="false" outlineLevel="0" collapsed="false">
      <c r="A19" s="1" t="n">
        <f aca="false">A18+0.05</f>
        <v>0.8</v>
      </c>
      <c r="B19" s="1" t="n">
        <f aca="false">$E$2*A19+$F$2</f>
        <v>0.615018036404994</v>
      </c>
    </row>
    <row r="20" customFormat="false" ht="13.8" hidden="false" customHeight="false" outlineLevel="0" collapsed="false">
      <c r="A20" s="1" t="n">
        <f aca="false">A19+0.05</f>
        <v>0.85</v>
      </c>
      <c r="B20" s="1" t="n">
        <f aca="false">$E$2*A20+$F$2</f>
        <v>0.587519324719637</v>
      </c>
    </row>
    <row r="21" customFormat="false" ht="13.8" hidden="false" customHeight="false" outlineLevel="0" collapsed="false">
      <c r="A21" s="1" t="n">
        <f aca="false">A20+0.05</f>
        <v>0.9</v>
      </c>
      <c r="B21" s="1" t="n">
        <f aca="false">$E$2*A21+$F$2</f>
        <v>0.560020613034279</v>
      </c>
    </row>
    <row r="22" customFormat="false" ht="13.8" hidden="false" customHeight="false" outlineLevel="0" collapsed="false">
      <c r="A22" s="1" t="n">
        <f aca="false">A21+0.05</f>
        <v>0.95</v>
      </c>
      <c r="B22" s="1" t="n">
        <f aca="false">$E$2*A22+$F$2</f>
        <v>0.532521901348922</v>
      </c>
    </row>
    <row r="23" customFormat="false" ht="13.8" hidden="false" customHeight="false" outlineLevel="0" collapsed="false">
      <c r="A23" s="1" t="n">
        <f aca="false">A22+0.05</f>
        <v>1</v>
      </c>
      <c r="B23" s="1" t="n">
        <f aca="false">$E$2*A23+$F$2</f>
        <v>0.505023189663564</v>
      </c>
    </row>
    <row r="24" customFormat="false" ht="13.8" hidden="false" customHeight="false" outlineLevel="0" collapsed="false">
      <c r="A24" s="1" t="n">
        <f aca="false">A23+0.05</f>
        <v>1.05</v>
      </c>
      <c r="B24" s="1" t="n">
        <f aca="false">$E$2*A24+$F$2</f>
        <v>0.477524477978207</v>
      </c>
    </row>
    <row r="25" customFormat="false" ht="13.8" hidden="false" customHeight="false" outlineLevel="0" collapsed="false">
      <c r="A25" s="1" t="n">
        <f aca="false">A24+0.05</f>
        <v>1.1</v>
      </c>
      <c r="B25" s="1" t="n">
        <f aca="false">$E$2*A25+$F$2</f>
        <v>0.450025766292849</v>
      </c>
    </row>
    <row r="26" customFormat="false" ht="13.8" hidden="false" customHeight="false" outlineLevel="0" collapsed="false">
      <c r="A26" s="1" t="n">
        <f aca="false">A25+0.05</f>
        <v>1.15</v>
      </c>
      <c r="B26" s="1" t="n">
        <f aca="false">$E$2*A26+$F$2</f>
        <v>0.422527054607492</v>
      </c>
    </row>
    <row r="27" customFormat="false" ht="13.8" hidden="false" customHeight="false" outlineLevel="0" collapsed="false">
      <c r="A27" s="1" t="n">
        <f aca="false">A26+0.05</f>
        <v>1.2</v>
      </c>
      <c r="B27" s="1" t="n">
        <f aca="false">$E$2*A27+$F$2</f>
        <v>0.395028342922134</v>
      </c>
    </row>
    <row r="28" customFormat="false" ht="13.8" hidden="false" customHeight="false" outlineLevel="0" collapsed="false">
      <c r="A28" s="1" t="n">
        <f aca="false">A27+0.05</f>
        <v>1.25</v>
      </c>
      <c r="B28" s="1" t="n">
        <f aca="false">$E$2*A28+$F$2</f>
        <v>0.367529631236777</v>
      </c>
    </row>
    <row r="29" customFormat="false" ht="13.8" hidden="false" customHeight="false" outlineLevel="0" collapsed="false">
      <c r="A29" s="1" t="n">
        <f aca="false">A28+0.05</f>
        <v>1.3</v>
      </c>
      <c r="B29" s="1" t="n">
        <f aca="false">$E$2*A29+$F$2</f>
        <v>0.340030919551419</v>
      </c>
    </row>
    <row r="30" customFormat="false" ht="13.8" hidden="false" customHeight="false" outlineLevel="0" collapsed="false">
      <c r="A30" s="1" t="n">
        <f aca="false">A29+0.05</f>
        <v>1.35</v>
      </c>
      <c r="B30" s="1" t="n">
        <f aca="false">$E$2*A30+$F$2</f>
        <v>0.312532207866062</v>
      </c>
    </row>
    <row r="31" customFormat="false" ht="13.8" hidden="false" customHeight="false" outlineLevel="0" collapsed="false">
      <c r="A31" s="1" t="n">
        <f aca="false">A30+0.05</f>
        <v>1.4</v>
      </c>
      <c r="B31" s="1" t="n">
        <f aca="false">$E$2*A31+$F$2</f>
        <v>0.285033496180704</v>
      </c>
    </row>
    <row r="32" customFormat="false" ht="13.8" hidden="false" customHeight="false" outlineLevel="0" collapsed="false">
      <c r="A32" s="1" t="n">
        <f aca="false">A31+0.05</f>
        <v>1.45</v>
      </c>
      <c r="B32" s="1" t="n">
        <f aca="false">$E$2*A32+$F$2</f>
        <v>0.257534784495347</v>
      </c>
    </row>
    <row r="33" customFormat="false" ht="13.8" hidden="false" customHeight="false" outlineLevel="0" collapsed="false">
      <c r="A33" s="1" t="n">
        <f aca="false">A32+0.05</f>
        <v>1.5</v>
      </c>
      <c r="B33" s="1" t="n">
        <f aca="false">$E$2*A33+$F$2</f>
        <v>0.230036072809989</v>
      </c>
    </row>
    <row r="34" customFormat="false" ht="13.8" hidden="false" customHeight="false" outlineLevel="0" collapsed="false">
      <c r="A34" s="1" t="n">
        <f aca="false">A33+0.05</f>
        <v>1.55</v>
      </c>
      <c r="B34" s="1" t="n">
        <f aca="false">$E$2*A34+$F$2</f>
        <v>0.202537361124631</v>
      </c>
    </row>
    <row r="35" customFormat="false" ht="13.8" hidden="false" customHeight="false" outlineLevel="0" collapsed="false">
      <c r="A35" s="1" t="n">
        <f aca="false">A34+0.05</f>
        <v>1.6</v>
      </c>
      <c r="B35" s="1" t="n">
        <f aca="false">$E$2*A35+$F$2</f>
        <v>0.175038649439274</v>
      </c>
    </row>
    <row r="36" customFormat="false" ht="13.8" hidden="false" customHeight="false" outlineLevel="0" collapsed="false">
      <c r="A36" s="1" t="n">
        <f aca="false">A35+0.05</f>
        <v>1.65</v>
      </c>
      <c r="B36" s="1" t="n">
        <f aca="false">$E$2*A36+$F$2</f>
        <v>0.147539937753916</v>
      </c>
    </row>
    <row r="37" customFormat="false" ht="13.8" hidden="false" customHeight="false" outlineLevel="0" collapsed="false">
      <c r="A37" s="1" t="n">
        <f aca="false">A36+0.05</f>
        <v>1.7</v>
      </c>
      <c r="B37" s="1" t="n">
        <f aca="false">$E$2*A37+$F$2</f>
        <v>0.120041226068559</v>
      </c>
    </row>
    <row r="38" customFormat="false" ht="13.8" hidden="false" customHeight="false" outlineLevel="0" collapsed="false">
      <c r="A38" s="1" t="n">
        <f aca="false">A37+0.05</f>
        <v>1.75</v>
      </c>
      <c r="B38" s="1" t="n">
        <f aca="false">$E$2*A38+$F$2</f>
        <v>0.0925425143832012</v>
      </c>
    </row>
    <row r="39" customFormat="false" ht="13.8" hidden="false" customHeight="false" outlineLevel="0" collapsed="false">
      <c r="A39" s="1" t="n">
        <f aca="false">A38+0.05</f>
        <v>1.8</v>
      </c>
      <c r="B39" s="1" t="n">
        <f aca="false">$E$2*A39+$F$2</f>
        <v>0.0650438026978436</v>
      </c>
    </row>
    <row r="40" customFormat="false" ht="13.8" hidden="false" customHeight="false" outlineLevel="0" collapsed="false">
      <c r="A40" s="1" t="n">
        <f aca="false">A39+0.05</f>
        <v>1.85</v>
      </c>
      <c r="B40" s="1" t="n">
        <f aca="false">$E$2*A40+$F$2</f>
        <v>0.0375450910124862</v>
      </c>
    </row>
    <row r="41" customFormat="false" ht="13.8" hidden="false" customHeight="false" outlineLevel="0" collapsed="false">
      <c r="A41" s="1" t="n">
        <f aca="false">A40+0.05</f>
        <v>1.9</v>
      </c>
      <c r="B41" s="1" t="n">
        <f aca="false">$E$2*A41+$F$2</f>
        <v>0.0100463793271286</v>
      </c>
    </row>
    <row r="42" customFormat="false" ht="13.8" hidden="false" customHeight="false" outlineLevel="0" collapsed="false">
      <c r="A42" s="1" t="n">
        <v>1.918267</v>
      </c>
      <c r="B4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n">
        <v>1.918267</v>
      </c>
      <c r="B2" s="3" t="n">
        <v>0</v>
      </c>
      <c r="C2" s="1" t="n">
        <v>2.95980773935777</v>
      </c>
      <c r="D2" s="1" t="n">
        <v>0.44721720693318</v>
      </c>
      <c r="E2" s="4" t="n">
        <f aca="false">(D2-B2)/(C2-A2)</f>
        <v>0.429380426548595</v>
      </c>
      <c r="F2" s="4" t="n">
        <f aca="false">-1*E2*A2+B2</f>
        <v>-0.823666302694095</v>
      </c>
    </row>
    <row r="4" customFormat="false" ht="13.8" hidden="false" customHeight="false" outlineLevel="0" collapsed="false">
      <c r="A4" s="5" t="s">
        <v>6</v>
      </c>
      <c r="B4" s="5" t="s">
        <v>7</v>
      </c>
    </row>
    <row r="5" customFormat="false" ht="13.8" hidden="false" customHeight="false" outlineLevel="0" collapsed="false">
      <c r="A5" s="3" t="n">
        <v>1.918267</v>
      </c>
      <c r="B5" s="3" t="n">
        <v>0</v>
      </c>
      <c r="F5" s="3"/>
    </row>
    <row r="6" customFormat="false" ht="13.8" hidden="false" customHeight="false" outlineLevel="0" collapsed="false">
      <c r="A6" s="1" t="n">
        <f aca="false">A5+0.05</f>
        <v>1.968267</v>
      </c>
      <c r="B6" s="1" t="n">
        <f aca="false">$E$2*A6+$F$2</f>
        <v>0.0214690213274298</v>
      </c>
      <c r="F6" s="1"/>
    </row>
    <row r="7" customFormat="false" ht="13.8" hidden="false" customHeight="false" outlineLevel="0" collapsed="false">
      <c r="A7" s="1" t="n">
        <f aca="false">A6+0.05</f>
        <v>2.018267</v>
      </c>
      <c r="B7" s="1" t="n">
        <f aca="false">$E$2*A7+$F$2</f>
        <v>0.0429380426548595</v>
      </c>
    </row>
    <row r="8" customFormat="false" ht="13.8" hidden="false" customHeight="false" outlineLevel="0" collapsed="false">
      <c r="A8" s="1" t="n">
        <f aca="false">A7+0.05</f>
        <v>2.068267</v>
      </c>
      <c r="B8" s="1" t="n">
        <f aca="false">$E$2*A8+$F$2</f>
        <v>0.0644070639822892</v>
      </c>
    </row>
    <row r="9" customFormat="false" ht="13.8" hidden="false" customHeight="false" outlineLevel="0" collapsed="false">
      <c r="A9" s="1" t="n">
        <f aca="false">A8+0.05</f>
        <v>2.118267</v>
      </c>
      <c r="B9" s="1" t="n">
        <f aca="false">$E$2*A9+$F$2</f>
        <v>0.0858760853097189</v>
      </c>
    </row>
    <row r="10" customFormat="false" ht="13.8" hidden="false" customHeight="false" outlineLevel="0" collapsed="false">
      <c r="A10" s="1" t="n">
        <f aca="false">A9+0.05</f>
        <v>2.168267</v>
      </c>
      <c r="B10" s="1" t="n">
        <f aca="false">$E$2*A10+$F$2</f>
        <v>0.107345106637149</v>
      </c>
    </row>
    <row r="11" customFormat="false" ht="13.8" hidden="false" customHeight="false" outlineLevel="0" collapsed="false">
      <c r="A11" s="1" t="n">
        <f aca="false">A10+0.05</f>
        <v>2.218267</v>
      </c>
      <c r="B11" s="1" t="n">
        <f aca="false">$E$2*A11+$F$2</f>
        <v>0.128814127964578</v>
      </c>
    </row>
    <row r="12" customFormat="false" ht="13.8" hidden="false" customHeight="false" outlineLevel="0" collapsed="false">
      <c r="A12" s="1" t="n">
        <f aca="false">A11+0.05</f>
        <v>2.268267</v>
      </c>
      <c r="B12" s="1" t="n">
        <f aca="false">$E$2*A12+$F$2</f>
        <v>0.150283149292008</v>
      </c>
    </row>
    <row r="13" customFormat="false" ht="13.8" hidden="false" customHeight="false" outlineLevel="0" collapsed="false">
      <c r="A13" s="1" t="n">
        <f aca="false">A12+0.05</f>
        <v>2.318267</v>
      </c>
      <c r="B13" s="1" t="n">
        <f aca="false">$E$2*A13+$F$2</f>
        <v>0.171752170619438</v>
      </c>
    </row>
    <row r="14" customFormat="false" ht="13.8" hidden="false" customHeight="false" outlineLevel="0" collapsed="false">
      <c r="A14" s="1" t="n">
        <f aca="false">A13+0.05</f>
        <v>2.368267</v>
      </c>
      <c r="B14" s="1" t="n">
        <f aca="false">$E$2*A14+$F$2</f>
        <v>0.193221191946867</v>
      </c>
    </row>
    <row r="15" customFormat="false" ht="13.8" hidden="false" customHeight="false" outlineLevel="0" collapsed="false">
      <c r="A15" s="1" t="n">
        <f aca="false">A14+0.05</f>
        <v>2.418267</v>
      </c>
      <c r="B15" s="1" t="n">
        <f aca="false">$E$2*A15+$F$2</f>
        <v>0.214690213274297</v>
      </c>
    </row>
    <row r="16" customFormat="false" ht="13.8" hidden="false" customHeight="false" outlineLevel="0" collapsed="false">
      <c r="A16" s="1" t="n">
        <f aca="false">A15+0.05</f>
        <v>2.468267</v>
      </c>
      <c r="B16" s="1" t="n">
        <f aca="false">$E$2*A16+$F$2</f>
        <v>0.236159234601727</v>
      </c>
    </row>
    <row r="17" customFormat="false" ht="13.8" hidden="false" customHeight="false" outlineLevel="0" collapsed="false">
      <c r="A17" s="1" t="n">
        <f aca="false">A16+0.05</f>
        <v>2.518267</v>
      </c>
      <c r="B17" s="1" t="n">
        <f aca="false">$E$2*A17+$F$2</f>
        <v>0.257628255929157</v>
      </c>
    </row>
    <row r="18" customFormat="false" ht="13.8" hidden="false" customHeight="false" outlineLevel="0" collapsed="false">
      <c r="A18" s="1" t="n">
        <f aca="false">A17+0.05</f>
        <v>2.568267</v>
      </c>
      <c r="B18" s="1" t="n">
        <f aca="false">$E$2*A18+$F$2</f>
        <v>0.279097277256586</v>
      </c>
    </row>
    <row r="19" customFormat="false" ht="13.8" hidden="false" customHeight="false" outlineLevel="0" collapsed="false">
      <c r="A19" s="1" t="n">
        <f aca="false">A18+0.05</f>
        <v>2.618267</v>
      </c>
      <c r="B19" s="1" t="n">
        <f aca="false">$E$2*A19+$F$2</f>
        <v>0.300566298584016</v>
      </c>
    </row>
    <row r="20" customFormat="false" ht="13.8" hidden="false" customHeight="false" outlineLevel="0" collapsed="false">
      <c r="A20" s="1" t="n">
        <f aca="false">A19+0.05</f>
        <v>2.668267</v>
      </c>
      <c r="B20" s="1" t="n">
        <f aca="false">$E$2*A20+$F$2</f>
        <v>0.322035319911446</v>
      </c>
    </row>
    <row r="21" customFormat="false" ht="13.8" hidden="false" customHeight="false" outlineLevel="0" collapsed="false">
      <c r="A21" s="1" t="n">
        <f aca="false">A20+0.05</f>
        <v>2.718267</v>
      </c>
      <c r="B21" s="1" t="n">
        <f aca="false">$E$2*A21+$F$2</f>
        <v>0.343504341238875</v>
      </c>
    </row>
    <row r="22" customFormat="false" ht="13.8" hidden="false" customHeight="false" outlineLevel="0" collapsed="false">
      <c r="A22" s="1" t="n">
        <f aca="false">A21+0.05</f>
        <v>2.768267</v>
      </c>
      <c r="B22" s="1" t="n">
        <f aca="false">$E$2*A22+$F$2</f>
        <v>0.364973362566305</v>
      </c>
    </row>
    <row r="23" customFormat="false" ht="13.8" hidden="false" customHeight="false" outlineLevel="0" collapsed="false">
      <c r="A23" s="1" t="n">
        <f aca="false">A22+0.05</f>
        <v>2.818267</v>
      </c>
      <c r="B23" s="1" t="n">
        <f aca="false">$E$2*A23+$F$2</f>
        <v>0.386442383893735</v>
      </c>
    </row>
    <row r="24" customFormat="false" ht="13.8" hidden="false" customHeight="false" outlineLevel="0" collapsed="false">
      <c r="A24" s="1" t="n">
        <f aca="false">A23+0.05</f>
        <v>2.868267</v>
      </c>
      <c r="B24" s="1" t="n">
        <f aca="false">$E$2*A24+$F$2</f>
        <v>0.407911405221164</v>
      </c>
    </row>
    <row r="25" customFormat="false" ht="13.8" hidden="false" customHeight="false" outlineLevel="0" collapsed="false">
      <c r="A25" s="1" t="n">
        <f aca="false">A24+0.05</f>
        <v>2.918267</v>
      </c>
      <c r="B25" s="1" t="n">
        <f aca="false">$E$2*A25+$F$2</f>
        <v>0.429380426548594</v>
      </c>
    </row>
    <row r="26" customFormat="false" ht="13.8" hidden="false" customHeight="false" outlineLevel="0" collapsed="false">
      <c r="A26" s="1" t="n">
        <v>2.95980773935777</v>
      </c>
      <c r="B26" s="1" t="n">
        <v>0.44721720693318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1" t="n">
        <v>2.95980773935777</v>
      </c>
      <c r="B2" s="1" t="n">
        <v>0.44721720693318</v>
      </c>
      <c r="C2" s="3" t="n">
        <v>3.27</v>
      </c>
      <c r="D2" s="3" t="n">
        <v>0.183438</v>
      </c>
      <c r="E2" s="4" t="n">
        <f aca="false">(D2-B2)/(C2-A2)</f>
        <v>-0.850373269749047</v>
      </c>
      <c r="F2" s="4" t="n">
        <f aca="false">-1*E2*A2+B2</f>
        <v>2.96415859207938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5" t="s">
        <v>6</v>
      </c>
      <c r="B4" s="5" t="s">
        <v>7</v>
      </c>
    </row>
    <row r="5" customFormat="false" ht="13.8" hidden="false" customHeight="false" outlineLevel="0" collapsed="false">
      <c r="A5" s="1" t="n">
        <v>2.95980773935777</v>
      </c>
      <c r="B5" s="1" t="n">
        <f aca="false">$E$2*A5+$F$2</f>
        <v>0.44721720693318</v>
      </c>
    </row>
    <row r="6" customFormat="false" ht="13.8" hidden="false" customHeight="false" outlineLevel="0" collapsed="false">
      <c r="A6" s="1" t="n">
        <f aca="false">A5+0.02</f>
        <v>2.97980773935777</v>
      </c>
      <c r="B6" s="1" t="n">
        <f aca="false">$E$2*A6+$F$2</f>
        <v>0.430209741538199</v>
      </c>
    </row>
    <row r="7" customFormat="false" ht="13.8" hidden="false" customHeight="false" outlineLevel="0" collapsed="false">
      <c r="A7" s="1" t="n">
        <f aca="false">A6+0.02</f>
        <v>2.99980773935777</v>
      </c>
      <c r="B7" s="1" t="n">
        <f aca="false">$E$2*A7+$F$2</f>
        <v>0.413202276143218</v>
      </c>
    </row>
    <row r="8" customFormat="false" ht="13.8" hidden="false" customHeight="false" outlineLevel="0" collapsed="false">
      <c r="A8" s="1" t="n">
        <f aca="false">A7+0.02</f>
        <v>3.01980773935777</v>
      </c>
      <c r="B8" s="1" t="n">
        <f aca="false">$E$2*A8+$F$2</f>
        <v>0.396194810748237</v>
      </c>
    </row>
    <row r="9" customFormat="false" ht="13.8" hidden="false" customHeight="false" outlineLevel="0" collapsed="false">
      <c r="A9" s="1" t="n">
        <f aca="false">A8+0.02</f>
        <v>3.03980773935777</v>
      </c>
      <c r="B9" s="1" t="n">
        <f aca="false">$E$2*A9+$F$2</f>
        <v>0.379187345353256</v>
      </c>
    </row>
    <row r="10" customFormat="false" ht="13.8" hidden="false" customHeight="false" outlineLevel="0" collapsed="false">
      <c r="A10" s="1" t="n">
        <f aca="false">A9+0.02</f>
        <v>3.05980773935777</v>
      </c>
      <c r="B10" s="1" t="n">
        <f aca="false">$E$2*A10+$F$2</f>
        <v>0.362179879958275</v>
      </c>
    </row>
    <row r="11" customFormat="false" ht="13.8" hidden="false" customHeight="false" outlineLevel="0" collapsed="false">
      <c r="A11" s="1" t="n">
        <f aca="false">A10+0.02</f>
        <v>3.07980773935777</v>
      </c>
      <c r="B11" s="1" t="n">
        <f aca="false">$E$2*A11+$F$2</f>
        <v>0.345172414563294</v>
      </c>
      <c r="J11" s="6"/>
      <c r="K11" s="6"/>
    </row>
    <row r="12" customFormat="false" ht="13.8" hidden="false" customHeight="false" outlineLevel="0" collapsed="false">
      <c r="A12" s="1" t="n">
        <f aca="false">A11+0.02</f>
        <v>3.09980773935777</v>
      </c>
      <c r="B12" s="1" t="n">
        <f aca="false">$E$2*A12+$F$2</f>
        <v>0.328164949168313</v>
      </c>
    </row>
    <row r="13" customFormat="false" ht="13.8" hidden="false" customHeight="false" outlineLevel="0" collapsed="false">
      <c r="A13" s="1" t="n">
        <f aca="false">A12+0.02</f>
        <v>3.11980773935777</v>
      </c>
      <c r="B13" s="1" t="n">
        <f aca="false">$E$2*A13+$F$2</f>
        <v>0.311157483773332</v>
      </c>
    </row>
    <row r="14" customFormat="false" ht="13.8" hidden="false" customHeight="false" outlineLevel="0" collapsed="false">
      <c r="A14" s="1" t="n">
        <f aca="false">A13+0.02</f>
        <v>3.13980773935777</v>
      </c>
      <c r="B14" s="1" t="n">
        <f aca="false">$E$2*A14+$F$2</f>
        <v>0.294150018378351</v>
      </c>
    </row>
    <row r="15" customFormat="false" ht="13.8" hidden="false" customHeight="false" outlineLevel="0" collapsed="false">
      <c r="A15" s="1" t="n">
        <f aca="false">A14+0.02</f>
        <v>3.15980773935777</v>
      </c>
      <c r="B15" s="1" t="n">
        <f aca="false">$E$2*A15+$F$2</f>
        <v>0.27714255298337</v>
      </c>
    </row>
    <row r="16" customFormat="false" ht="13.8" hidden="false" customHeight="false" outlineLevel="0" collapsed="false">
      <c r="A16" s="1" t="n">
        <f aca="false">A15+0.02</f>
        <v>3.17980773935777</v>
      </c>
      <c r="B16" s="1" t="n">
        <f aca="false">$E$2*A16+$F$2</f>
        <v>0.260135087588389</v>
      </c>
    </row>
    <row r="17" customFormat="false" ht="13.8" hidden="false" customHeight="false" outlineLevel="0" collapsed="false">
      <c r="A17" s="1" t="n">
        <f aca="false">A16+0.02</f>
        <v>3.19980773935777</v>
      </c>
      <c r="B17" s="1" t="n">
        <f aca="false">$E$2*A17+$F$2</f>
        <v>0.243127622193408</v>
      </c>
    </row>
    <row r="18" customFormat="false" ht="13.8" hidden="false" customHeight="false" outlineLevel="0" collapsed="false">
      <c r="A18" s="1" t="n">
        <f aca="false">A17+0.02</f>
        <v>3.21980773935777</v>
      </c>
      <c r="B18" s="1" t="n">
        <f aca="false">$E$2*A18+$F$2</f>
        <v>0.226120156798427</v>
      </c>
    </row>
    <row r="19" customFormat="false" ht="13.8" hidden="false" customHeight="false" outlineLevel="0" collapsed="false">
      <c r="A19" s="1" t="n">
        <f aca="false">A18+0.02</f>
        <v>3.23980773935777</v>
      </c>
      <c r="B19" s="1" t="n">
        <f aca="false">$E$2*A19+$F$2</f>
        <v>0.209112691403446</v>
      </c>
    </row>
    <row r="20" customFormat="false" ht="13.8" hidden="false" customHeight="false" outlineLevel="0" collapsed="false">
      <c r="A20" s="1" t="n">
        <f aca="false">A19+0.02</f>
        <v>3.25980773935777</v>
      </c>
      <c r="B20" s="1" t="n">
        <f aca="false">$E$2*A20+$F$2</f>
        <v>0.192105226008465</v>
      </c>
    </row>
    <row r="21" customFormat="false" ht="13.8" hidden="false" customHeight="false" outlineLevel="0" collapsed="false">
      <c r="A21" s="3" t="n">
        <v>3.27</v>
      </c>
      <c r="B21" s="3" t="n">
        <v>0.183438</v>
      </c>
    </row>
    <row r="22" customFormat="false" ht="13.8" hidden="false" customHeight="false" outlineLevel="0" collapsed="false">
      <c r="A22" s="1"/>
      <c r="B22" s="1"/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98"/>
    <col collapsed="false" customWidth="true" hidden="false" outlineLevel="0" max="3" min="3" style="0" width="5.47"/>
    <col collapsed="false" customWidth="true" hidden="false" outlineLevel="0" max="4" min="4" style="0" width="9.9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8</v>
      </c>
      <c r="F1" s="2" t="s">
        <v>9</v>
      </c>
      <c r="G1" s="3" t="s">
        <v>10</v>
      </c>
      <c r="H1" s="3" t="s">
        <v>11</v>
      </c>
      <c r="I1" s="5" t="s">
        <v>6</v>
      </c>
      <c r="J1" s="5" t="s">
        <v>7</v>
      </c>
    </row>
    <row r="2" customFormat="false" ht="13.8" hidden="false" customHeight="false" outlineLevel="0" collapsed="false">
      <c r="A2" s="3" t="n">
        <v>0.1</v>
      </c>
      <c r="B2" s="3" t="n">
        <v>1</v>
      </c>
      <c r="C2" s="3" t="n">
        <v>3.27</v>
      </c>
      <c r="D2" s="0" t="n">
        <v>0.387259</v>
      </c>
      <c r="E2" s="4" t="n">
        <f aca="false">(D2-B2)/(C2-A2)</f>
        <v>-0.193293690851735</v>
      </c>
      <c r="F2" s="4" t="n">
        <f aca="false">-1*E2*A2+B2</f>
        <v>1.01932936908517</v>
      </c>
      <c r="G2" s="3" t="n">
        <v>0.429381</v>
      </c>
      <c r="H2" s="3" t="n">
        <v>-0.823668</v>
      </c>
      <c r="I2" s="5" t="n">
        <f aca="false">(H2-F2)/(E2-G2)</f>
        <v>2.95980773935777</v>
      </c>
      <c r="J2" s="5" t="n">
        <f aca="false">G2*I2+H2</f>
        <v>0.44721720693318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2025-04-30T19:46:45Z</dcterms:created>
  <dc:creator/>
  <dc:description/>
  <dc:language>en-IN</dc:language>
  <cp:lastModifiedBy/>
  <dcterms:modified xsi:type="dcterms:W3CDTF">2025-05-15T20:41:03Z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